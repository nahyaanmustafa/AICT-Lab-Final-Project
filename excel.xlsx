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aleed\Desktop\"/>
    </mc:Choice>
  </mc:AlternateContent>
  <xr:revisionPtr revIDLastSave="0" documentId="13_ncr:1_{1FC52E08-52E4-4B01-83C9-C00AEE2787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3" i="1" l="1"/>
  <c r="C43" i="1"/>
  <c r="B43" i="1"/>
  <c r="D42" i="1"/>
  <c r="C49" i="1" s="1"/>
  <c r="B42" i="1"/>
  <c r="C47" i="1" s="1"/>
  <c r="C42" i="1"/>
  <c r="C33" i="1"/>
  <c r="D33" i="1"/>
  <c r="B33" i="1"/>
  <c r="C32" i="1"/>
  <c r="D32" i="1"/>
  <c r="B32" i="1"/>
  <c r="D23" i="1"/>
  <c r="C23" i="1"/>
  <c r="B22" i="1"/>
  <c r="D22" i="1"/>
  <c r="D13" i="1"/>
  <c r="C13" i="1"/>
  <c r="B13" i="1"/>
  <c r="B12" i="1"/>
  <c r="C12" i="1"/>
  <c r="D12" i="1"/>
  <c r="B23" i="1" l="1"/>
  <c r="C22" i="1"/>
  <c r="C45" i="1" s="1"/>
</calcChain>
</file>

<file path=xl/sharedStrings.xml><?xml version="1.0" encoding="utf-8"?>
<sst xmlns="http://schemas.openxmlformats.org/spreadsheetml/2006/main" count="72" uniqueCount="48">
  <si>
    <t xml:space="preserve">Name </t>
  </si>
  <si>
    <t xml:space="preserve">Rating </t>
  </si>
  <si>
    <t xml:space="preserve">Calories </t>
  </si>
  <si>
    <t>Pepperoni Supreme</t>
  </si>
  <si>
    <t>Classic Margherita</t>
  </si>
  <si>
    <t>BBQ Chicken Pizza</t>
  </si>
  <si>
    <t>Meat Lovers</t>
  </si>
  <si>
    <t>Price (Rupees)</t>
  </si>
  <si>
    <t>Double Cheese Burger</t>
  </si>
  <si>
    <t>Classic Beef Burger</t>
  </si>
  <si>
    <t>Crispy Chicken Burger</t>
  </si>
  <si>
    <t>Garden Veggie Burger</t>
  </si>
  <si>
    <t>Artisan Pizzas</t>
  </si>
  <si>
    <t>Price(Rupees)</t>
  </si>
  <si>
    <t>Rating</t>
  </si>
  <si>
    <t>Calories</t>
  </si>
  <si>
    <t>Name</t>
  </si>
  <si>
    <t>Classic Milkshake</t>
  </si>
  <si>
    <t>Fresh Lemonade</t>
  </si>
  <si>
    <t>Iced Caramel Coffee</t>
  </si>
  <si>
    <t>Tropical Smoothie</t>
  </si>
  <si>
    <t>Sweet treats</t>
  </si>
  <si>
    <t>Ice cream Sundae</t>
  </si>
  <si>
    <t>Chocolate Brownie</t>
  </si>
  <si>
    <t>NY Cheesecake</t>
  </si>
  <si>
    <t>Donut</t>
  </si>
  <si>
    <t xml:space="preserve">Sum = </t>
  </si>
  <si>
    <t>Average Calorie Count =</t>
  </si>
  <si>
    <t xml:space="preserve"> Classic Burgers</t>
  </si>
  <si>
    <t xml:space="preserve">RESTAURANT DATA SUMMARY </t>
  </si>
  <si>
    <t>Average Restaurant Rating =</t>
  </si>
  <si>
    <t>Average Restaurant Prices =</t>
  </si>
  <si>
    <t>BEVERAGES</t>
  </si>
  <si>
    <t>Average</t>
  </si>
  <si>
    <t>Day</t>
  </si>
  <si>
    <t>Opening Hour</t>
  </si>
  <si>
    <t>Closing Hour</t>
  </si>
  <si>
    <t>10am</t>
  </si>
  <si>
    <t>11pm</t>
  </si>
  <si>
    <t>11am</t>
  </si>
  <si>
    <t>12am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</si>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</sst>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520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1" fillId="0" borderId="0" xfId="0" applyFont="1" applyFill="1" applyAlignment="1">
      <alignment vertical="center"/>
    </xf>
    <xf numFmtId="3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3232"/>
      <color rgb="FFFF3300"/>
      <color rgb="FFFF0066"/>
      <color rgb="FFFF0000"/>
      <color rgb="FFFF1919"/>
      <color rgb="FFFF520D"/>
      <color rgb="FFCC00FF"/>
      <color rgb="FF33CCFF"/>
      <color rgb="FFB633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Burger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Sheet1!$A$8:$A$11</c:f>
              <c:strCache>
                <c:ptCount val="4"/>
                <c:pt idx="0">
                  <c:v>Classic Beef Burger</c:v>
                </c:pt>
                <c:pt idx="1">
                  <c:v>Double Cheese Burger</c:v>
                </c:pt>
                <c:pt idx="2">
                  <c:v>Crispy Chicken Burger</c:v>
                </c:pt>
                <c:pt idx="3">
                  <c:v>Garden Veggie Burger</c:v>
                </c:pt>
              </c:strCache>
            </c:strRef>
          </c:cat>
          <c:val>
            <c:numRef>
              <c:f>Sheet1!$B$8:$B$11</c:f>
              <c:numCache>
                <c:formatCode>#,##0</c:formatCode>
                <c:ptCount val="4"/>
                <c:pt idx="0">
                  <c:v>999</c:v>
                </c:pt>
                <c:pt idx="1">
                  <c:v>1299</c:v>
                </c:pt>
                <c:pt idx="2">
                  <c:v>999</c:v>
                </c:pt>
                <c:pt idx="3">
                  <c:v>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6-4963-A4FA-85593EDEA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2792384"/>
        <c:axId val="452792864"/>
      </c:barChart>
      <c:catAx>
        <c:axId val="452792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52792864"/>
        <c:crosses val="autoZero"/>
        <c:auto val="1"/>
        <c:lblAlgn val="ctr"/>
        <c:lblOffset val="100"/>
        <c:noMultiLvlLbl val="0"/>
      </c:catAx>
      <c:valAx>
        <c:axId val="45279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5279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Burger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Sheet1!$A$8:$A$11</c:f>
              <c:strCache>
                <c:ptCount val="4"/>
                <c:pt idx="0">
                  <c:v>Classic Beef Burger</c:v>
                </c:pt>
                <c:pt idx="1">
                  <c:v>Double Cheese Burger</c:v>
                </c:pt>
                <c:pt idx="2">
                  <c:v>Crispy Chicken Burger</c:v>
                </c:pt>
                <c:pt idx="3">
                  <c:v>Garden Veggie Burger</c:v>
                </c:pt>
              </c:strCache>
            </c:strRef>
          </c:cat>
          <c:val>
            <c:numRef>
              <c:f>Sheet1!$C$8:$C$11</c:f>
              <c:numCache>
                <c:formatCode>General</c:formatCode>
                <c:ptCount val="4"/>
                <c:pt idx="0">
                  <c:v>4.9000000000000004</c:v>
                </c:pt>
                <c:pt idx="1">
                  <c:v>4.8</c:v>
                </c:pt>
                <c:pt idx="2">
                  <c:v>4.7</c:v>
                </c:pt>
                <c:pt idx="3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0-4007-A6B5-363A4EB4A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8952576"/>
        <c:axId val="348950656"/>
      </c:barChart>
      <c:catAx>
        <c:axId val="34895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48950656"/>
        <c:crosses val="autoZero"/>
        <c:auto val="1"/>
        <c:lblAlgn val="ctr"/>
        <c:lblOffset val="100"/>
        <c:noMultiLvlLbl val="0"/>
      </c:catAx>
      <c:valAx>
        <c:axId val="34895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4895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Pizza</a:t>
            </a:r>
            <a:r>
              <a:rPr lang="en-US" baseline="0"/>
              <a:t>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Sheet1!$A$18</c:f>
              <c:strCache>
                <c:ptCount val="1"/>
                <c:pt idx="0">
                  <c:v>Pepperoni Supreme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Sheet1!$B$18</c:f>
              <c:numCache>
                <c:formatCode>#,##0</c:formatCode>
                <c:ptCount val="1"/>
                <c:pt idx="0">
                  <c:v>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3-4DDD-8FC6-675780CA0538}"/>
            </c:ext>
          </c:extLst>
        </c:ser>
        <c:ser>
          <c:idx val="1"/>
          <c:order val="1"/>
          <c:tx>
            <c:strRef>
              <c:f>Sheet1!$A$19</c:f>
              <c:strCache>
                <c:ptCount val="1"/>
                <c:pt idx="0">
                  <c:v>Classic Margherita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Sheet1!$B$19</c:f>
              <c:numCache>
                <c:formatCode>#,##0</c:formatCode>
                <c:ptCount val="1"/>
                <c:pt idx="0">
                  <c:v>1699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B3-4DDD-8FC6-675780CA0538}"/>
            </c:ext>
          </c:extLst>
        </c:ser>
        <c:ser>
          <c:idx val="2"/>
          <c:order val="2"/>
          <c:tx>
            <c:strRef>
              <c:f>Sheet1!$A$20</c:f>
              <c:strCache>
                <c:ptCount val="1"/>
                <c:pt idx="0">
                  <c:v>BBQ Chicken Pizza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Sheet1!$B$20</c:f>
              <c:numCache>
                <c:formatCode>#,##0</c:formatCode>
                <c:ptCount val="1"/>
                <c:pt idx="0">
                  <c:v>1799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B3-4DDD-8FC6-675780CA0538}"/>
            </c:ext>
          </c:extLst>
        </c:ser>
        <c:ser>
          <c:idx val="3"/>
          <c:order val="3"/>
          <c:tx>
            <c:strRef>
              <c:f>Sheet1!$A$21</c:f>
              <c:strCache>
                <c:ptCount val="1"/>
                <c:pt idx="0">
                  <c:v>Meat Lovers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Sheet1!$B$21</c:f>
              <c:numCache>
                <c:formatCode>#,##0</c:formatCode>
                <c:ptCount val="1"/>
                <c:pt idx="0">
                  <c:v>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B3-4DDD-8FC6-675780CA0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9406016"/>
        <c:axId val="359407936"/>
        <c:axId val="445253856"/>
      </c:bar3DChart>
      <c:catAx>
        <c:axId val="35940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59407936"/>
        <c:crosses val="autoZero"/>
        <c:auto val="1"/>
        <c:lblAlgn val="ctr"/>
        <c:lblOffset val="100"/>
        <c:noMultiLvlLbl val="0"/>
      </c:catAx>
      <c:valAx>
        <c:axId val="35940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59406016"/>
        <c:crosses val="autoZero"/>
        <c:crossBetween val="between"/>
      </c:valAx>
      <c:serAx>
        <c:axId val="445253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5940793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Pizza</a:t>
            </a:r>
            <a:r>
              <a:rPr lang="en-US" baseline="0"/>
              <a:t> Rating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Sheet1!$A$18</c:f>
              <c:strCache>
                <c:ptCount val="1"/>
                <c:pt idx="0">
                  <c:v>Pepperoni Supreme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Sheet1!$C$18</c:f>
              <c:numCache>
                <c:formatCode>General</c:formatCode>
                <c:ptCount val="1"/>
                <c:pt idx="0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E-4EE2-A348-C262D9558448}"/>
            </c:ext>
          </c:extLst>
        </c:ser>
        <c:ser>
          <c:idx val="1"/>
          <c:order val="1"/>
          <c:tx>
            <c:strRef>
              <c:f>Sheet1!$A$19</c:f>
              <c:strCache>
                <c:ptCount val="1"/>
                <c:pt idx="0">
                  <c:v>Classic Margherita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Sheet1!$C$19</c:f>
              <c:numCache>
                <c:formatCode>General</c:formatCode>
                <c:ptCount val="1"/>
                <c:pt idx="0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6E-4EE2-A348-C262D9558448}"/>
            </c:ext>
          </c:extLst>
        </c:ser>
        <c:ser>
          <c:idx val="2"/>
          <c:order val="2"/>
          <c:tx>
            <c:strRef>
              <c:f>Sheet1!$A$20</c:f>
              <c:strCache>
                <c:ptCount val="1"/>
                <c:pt idx="0">
                  <c:v>BBQ Chicken Pizza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Sheet1!$C$20</c:f>
              <c:numCache>
                <c:formatCode>General</c:formatCode>
                <c:ptCount val="1"/>
                <c:pt idx="0">
                  <c:v>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6E-4EE2-A348-C262D9558448}"/>
            </c:ext>
          </c:extLst>
        </c:ser>
        <c:ser>
          <c:idx val="3"/>
          <c:order val="3"/>
          <c:tx>
            <c:strRef>
              <c:f>Sheet1!$A$21</c:f>
              <c:strCache>
                <c:ptCount val="1"/>
                <c:pt idx="0">
                  <c:v>Meat Lovers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Sheet1!$C$21</c:f>
              <c:numCache>
                <c:formatCode>General</c:formatCode>
                <c:ptCount val="1"/>
                <c:pt idx="0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6E-4EE2-A348-C262D9558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5463680"/>
        <c:axId val="445460800"/>
      </c:barChart>
      <c:catAx>
        <c:axId val="445463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45460800"/>
        <c:crosses val="autoZero"/>
        <c:auto val="1"/>
        <c:lblAlgn val="ctr"/>
        <c:lblOffset val="100"/>
        <c:noMultiLvlLbl val="0"/>
      </c:catAx>
      <c:valAx>
        <c:axId val="44546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4546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Beverages</a:t>
            </a:r>
            <a:r>
              <a:rPr lang="en-US" baseline="0"/>
              <a:t> Rating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 w="25400">
              <a:solidFill>
                <a:schemeClr val="lt1"/>
              </a:solidFill>
            </a:ln>
            <a:effectLst/>
            <a:sp3d contourW="25400">
              <a:contourClr>
                <a:schemeClr val="lt1"/>
              </a:contourClr>
            </a:sp3d>
          </c:spPr>
          <c:cat>
            <c:strRef>
              <c:f>Sheet1!$A$28:$A$31</c:f>
              <c:strCache>
                <c:ptCount val="4"/>
                <c:pt idx="0">
                  <c:v>Classic Milkshake</c:v>
                </c:pt>
                <c:pt idx="1">
                  <c:v>Fresh Lemonade</c:v>
                </c:pt>
                <c:pt idx="2">
                  <c:v>Iced Caramel Coffee</c:v>
                </c:pt>
                <c:pt idx="3">
                  <c:v>Tropical Smoothie</c:v>
                </c:pt>
              </c:strCache>
            </c:strRef>
          </c:cat>
          <c:val>
            <c:numRef>
              <c:f>Sheet1!$C$28:$C$31</c:f>
              <c:numCache>
                <c:formatCode>General</c:formatCode>
                <c:ptCount val="4"/>
                <c:pt idx="0">
                  <c:v>4.9000000000000004</c:v>
                </c:pt>
                <c:pt idx="1">
                  <c:v>4.8</c:v>
                </c:pt>
                <c:pt idx="2">
                  <c:v>4.7</c:v>
                </c:pt>
                <c:pt idx="3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16-4159-83F3-686CDF69B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614032"/>
        <c:axId val="345616912"/>
        <c:axId val="399466864"/>
      </c:line3DChart>
      <c:catAx>
        <c:axId val="34561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45616912"/>
        <c:crosses val="autoZero"/>
        <c:auto val="1"/>
        <c:lblAlgn val="ctr"/>
        <c:lblOffset val="100"/>
        <c:noMultiLvlLbl val="0"/>
      </c:catAx>
      <c:valAx>
        <c:axId val="34561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45614032"/>
        <c:crosses val="autoZero"/>
        <c:crossBetween val="between"/>
      </c:valAx>
      <c:serAx>
        <c:axId val="3994668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4561691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Beverages</a:t>
            </a:r>
            <a:r>
              <a:rPr lang="en-US" baseline="0"/>
              <a:t> Calories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cat>
            <c:strRef>
              <c:f>Sheet1!$A$28:$A$31</c:f>
              <c:strCache>
                <c:ptCount val="4"/>
                <c:pt idx="0">
                  <c:v>Classic Milkshake</c:v>
                </c:pt>
                <c:pt idx="1">
                  <c:v>Fresh Lemonade</c:v>
                </c:pt>
                <c:pt idx="2">
                  <c:v>Iced Caramel Coffee</c:v>
                </c:pt>
                <c:pt idx="3">
                  <c:v>Tropical Smoothie</c:v>
                </c:pt>
              </c:strCache>
            </c:strRef>
          </c:cat>
          <c:val>
            <c:numRef>
              <c:f>Sheet1!$D$28:$D$31</c:f>
              <c:numCache>
                <c:formatCode>General</c:formatCode>
                <c:ptCount val="4"/>
                <c:pt idx="0">
                  <c:v>550</c:v>
                </c:pt>
                <c:pt idx="1">
                  <c:v>120</c:v>
                </c:pt>
                <c:pt idx="2">
                  <c:v>180</c:v>
                </c:pt>
                <c:pt idx="3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3D-4E5F-A971-002FA4D35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330208"/>
        <c:axId val="346332128"/>
        <c:axId val="410135376"/>
      </c:line3DChart>
      <c:catAx>
        <c:axId val="346330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46332128"/>
        <c:crosses val="autoZero"/>
        <c:auto val="1"/>
        <c:lblAlgn val="ctr"/>
        <c:lblOffset val="100"/>
        <c:noMultiLvlLbl val="0"/>
      </c:catAx>
      <c:valAx>
        <c:axId val="34633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46330208"/>
        <c:crosses val="autoZero"/>
        <c:crossBetween val="between"/>
      </c:valAx>
      <c:serAx>
        <c:axId val="4101353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46332128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Sweets</a:t>
            </a:r>
            <a:r>
              <a:rPr lang="en-US" baseline="0"/>
              <a:t> Rating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Sheet1!$A$38:$A$41</c:f>
              <c:strCache>
                <c:ptCount val="4"/>
                <c:pt idx="0">
                  <c:v>Ice cream Sundae</c:v>
                </c:pt>
                <c:pt idx="1">
                  <c:v>Chocolate Brownie</c:v>
                </c:pt>
                <c:pt idx="2">
                  <c:v>NY Cheesecake</c:v>
                </c:pt>
                <c:pt idx="3">
                  <c:v>Donut</c:v>
                </c:pt>
              </c:strCache>
            </c:strRef>
          </c:xVal>
          <c:yVal>
            <c:numRef>
              <c:f>Sheet1!$C$38:$C$41</c:f>
              <c:numCache>
                <c:formatCode>General</c:formatCode>
                <c:ptCount val="4"/>
                <c:pt idx="0">
                  <c:v>4.9000000000000004</c:v>
                </c:pt>
                <c:pt idx="1">
                  <c:v>4.8</c:v>
                </c:pt>
                <c:pt idx="2">
                  <c:v>4.7</c:v>
                </c:pt>
                <c:pt idx="3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6C-4D5A-A8A5-CADBAC60A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441840"/>
        <c:axId val="403444240"/>
      </c:scatterChart>
      <c:valAx>
        <c:axId val="40344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03444240"/>
        <c:crosses val="autoZero"/>
        <c:crossBetween val="midCat"/>
      </c:valAx>
      <c:valAx>
        <c:axId val="40344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0344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Sweets</a:t>
            </a:r>
            <a:r>
              <a:rPr lang="en-US" baseline="0"/>
              <a:t> Calories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Sheet1!$A$38:$A$41</c:f>
              <c:strCache>
                <c:ptCount val="4"/>
                <c:pt idx="0">
                  <c:v>Ice cream Sundae</c:v>
                </c:pt>
                <c:pt idx="1">
                  <c:v>Chocolate Brownie</c:v>
                </c:pt>
                <c:pt idx="2">
                  <c:v>NY Cheesecake</c:v>
                </c:pt>
                <c:pt idx="3">
                  <c:v>Donut</c:v>
                </c:pt>
              </c:strCache>
            </c:strRef>
          </c:xVal>
          <c:yVal>
            <c:numRef>
              <c:f>Sheet1!$D$38:$D$41</c:f>
              <c:numCache>
                <c:formatCode>General</c:formatCode>
                <c:ptCount val="4"/>
                <c:pt idx="0">
                  <c:v>620</c:v>
                </c:pt>
                <c:pt idx="1">
                  <c:v>480</c:v>
                </c:pt>
                <c:pt idx="2">
                  <c:v>450</c:v>
                </c:pt>
                <c:pt idx="3">
                  <c:v>520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B4-4C49-968D-F59EB7AA8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884720"/>
        <c:axId val="447881360"/>
      </c:scatterChart>
      <c:valAx>
        <c:axId val="44788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47881360"/>
        <c:crosses val="autoZero"/>
        <c:crossBetween val="midCat"/>
      </c:valAx>
      <c:valAx>
        <c:axId val="44788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4788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doughnut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EF5-448F-99B3-698AC5E6C7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EF5-448F-99B3-698AC5E6C7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EF5-448F-99B3-698AC5E6C7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EF5-448F-99B3-698AC5E6C7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EF5-448F-99B3-698AC5E6C7F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EF5-448F-99B3-698AC5E6C7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Sheet1!$A$45:$A$50</c:f>
              <c:strCache>
                <c:ptCount val="5"/>
                <c:pt idx="0">
                  <c:v>Average Restaurant Rating =</c:v>
                </c:pt>
                <c:pt idx="2">
                  <c:v>Average Restaurant Prices =</c:v>
                </c:pt>
                <c:pt idx="4">
                  <c:v>Average Calorie Count =</c:v>
                </c:pt>
              </c:strCache>
            </c:strRef>
          </c:cat>
          <c:val>
            <c:numRef>
              <c:f>Sheet1!$C$45:$C$50</c:f>
              <c:numCache>
                <c:formatCode>0.0</c:formatCode>
                <c:ptCount val="6"/>
                <c:pt idx="0">
                  <c:v>4.7937499999999993</c:v>
                </c:pt>
                <c:pt idx="2" formatCode="#,##0">
                  <c:v>980.25</c:v>
                </c:pt>
                <c:pt idx="4" formatCode="General">
                  <c:v>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4A3B-8CA9-52A25864FA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D-BEF5-448F-99B3-698AC5E6C7F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F-BEF5-448F-99B3-698AC5E6C7F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1-BEF5-448F-99B3-698AC5E6C7FD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3-BEF5-448F-99B3-698AC5E6C7FD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5-BEF5-448F-99B3-698AC5E6C7FD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7-BEF5-448F-99B3-698AC5E6C7FD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Sheet1!$A$45:$A$50</c15:sqref>
                        </c15:formulaRef>
                      </c:ext>
                    </c:extLst>
                    <c:strCache>
                      <c:ptCount val="5"/>
                      <c:pt idx="0">
                        <c:v>Average Restaurant Rating =</c:v>
                      </c:pt>
                      <c:pt idx="2">
                        <c:v>Average Restaurant Prices =</c:v>
                      </c:pt>
                      <c:pt idx="4">
                        <c:v>Average Calorie Count =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Sheet1!$B$45:$B$50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F97-4A3B-8CA9-52A25864FA7C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9-BEF5-448F-99B3-698AC5E6C7F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B-BEF5-448F-99B3-698AC5E6C7F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D-BEF5-448F-99B3-698AC5E6C7FD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F-BEF5-448F-99B3-698AC5E6C7FD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1-BEF5-448F-99B3-698AC5E6C7FD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3-BEF5-448F-99B3-698AC5E6C7FD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Sheet1!$A$45:$A$50</c15:sqref>
                        </c15:formulaRef>
                      </c:ext>
                    </c:extLst>
                    <c:strCache>
                      <c:ptCount val="5"/>
                      <c:pt idx="0">
                        <c:v>Average Restaurant Rating =</c:v>
                      </c:pt>
                      <c:pt idx="2">
                        <c:v>Average Restaurant Prices =</c:v>
                      </c:pt>
                      <c:pt idx="4">
                        <c:v>Average Calorie Count =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Sheet1!$D$45:$D$50</c15:sqref>
                        </c15:formulaRef>
                      </c:ext>
                    </c:extLst>
                    <c:numCache>
                      <c:formatCode>0.0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F97-4A3B-8CA9-52A25864FA7C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11905</xdr:colOff>
      <xdr:row>4</xdr:row>
      <xdr:rowOff>23812</xdr:rowOff>
    </xdr:from>
    <xdr:to>
      <xdr:col>14</xdr:col>
      <xdr:colOff>11906</xdr:colOff>
      <xdr:row>16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AECD7D-2A9F-6ED1-B407-46203009D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23814</xdr:colOff>
      <xdr:row>4</xdr:row>
      <xdr:rowOff>23812</xdr:rowOff>
    </xdr:from>
    <xdr:to>
      <xdr:col>23</xdr:col>
      <xdr:colOff>35719</xdr:colOff>
      <xdr:row>16</xdr:row>
      <xdr:rowOff>11906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FB3D34-B797-9C19-6091-DB15CEA91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17858</xdr:colOff>
      <xdr:row>17</xdr:row>
      <xdr:rowOff>11907</xdr:rowOff>
    </xdr:from>
    <xdr:to>
      <xdr:col>14</xdr:col>
      <xdr:colOff>23812</xdr:colOff>
      <xdr:row>29</xdr:row>
      <xdr:rowOff>23813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58B54C-8D44-01AB-3F3B-3934F3699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15477</xdr:rowOff>
    </xdr:from>
    <xdr:to>
      <xdr:col>23</xdr:col>
      <xdr:colOff>47625</xdr:colOff>
      <xdr:row>29</xdr:row>
      <xdr:rowOff>35719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420E68-C09D-E589-6DBA-511B9AE19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17860</xdr:colOff>
      <xdr:row>30</xdr:row>
      <xdr:rowOff>3569</xdr:rowOff>
    </xdr:from>
    <xdr:to>
      <xdr:col>14</xdr:col>
      <xdr:colOff>23813</xdr:colOff>
      <xdr:row>42</xdr:row>
      <xdr:rowOff>11906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25B8AC5-A791-7825-7789-3F49F4C4B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29765</xdr:colOff>
      <xdr:row>30</xdr:row>
      <xdr:rowOff>3570</xdr:rowOff>
    </xdr:from>
    <xdr:to>
      <xdr:col>23</xdr:col>
      <xdr:colOff>11905</xdr:colOff>
      <xdr:row>41</xdr:row>
      <xdr:rowOff>226218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21C93BD-6107-8F32-03D7-2E6F3AE19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5952</xdr:colOff>
      <xdr:row>43</xdr:row>
      <xdr:rowOff>3572</xdr:rowOff>
    </xdr:from>
    <xdr:to>
      <xdr:col>14</xdr:col>
      <xdr:colOff>35718</xdr:colOff>
      <xdr:row>55</xdr:row>
      <xdr:rowOff>23812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47248C8-4775-19A2-27B6-0B73E1DF2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41671</xdr:colOff>
      <xdr:row>43</xdr:row>
      <xdr:rowOff>3570</xdr:rowOff>
    </xdr:from>
    <xdr:to>
      <xdr:col>23</xdr:col>
      <xdr:colOff>23811</xdr:colOff>
      <xdr:row>54</xdr:row>
      <xdr:rowOff>226218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784F92B-636F-8369-49D4-D4ED1E1F0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29763</xdr:colOff>
      <xdr:row>61</xdr:row>
      <xdr:rowOff>15477</xdr:rowOff>
    </xdr:from>
    <xdr:to>
      <xdr:col>4</xdr:col>
      <xdr:colOff>11906</xdr:colOff>
      <xdr:row>73</xdr:row>
      <xdr:rowOff>226218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F470465-D8B9-7955-BA62-0A9E01129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52E0C7-196E-466D-879C-CB3FF97023DF}" name="Table1" displayName="Table1" ref="A52:C60" totalsRowShown="0" headerRowDxfId="1" dataDxfId="0">
  <autoFilter ref="A52:C60" xr:uid="{BD52E0C7-196E-466D-879C-CB3FF97023DF}"/>
  <tableColumns count="3">
    <tableColumn id="1" xr3:uid="{8DB3667E-8034-4456-914C-8EB990C9DA70}" name="Day" dataDxfId="4"/>
    <tableColumn id="2" xr3:uid="{8568E70A-5427-4A7B-AB8D-0C9FA69B96BA}" name="Opening Hour" dataDxfId="3"/>
    <tableColumn id="3" xr3:uid="{87A4D893-89E8-47CB-AC36-5F4E4CC72F6B}" name="Closing Hour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topLeftCell="A54" zoomScale="80" zoomScaleNormal="80" workbookViewId="0">
      <selection activeCell="H62" sqref="H62"/>
    </sheetView>
  </sheetViews>
  <sheetFormatPr defaultRowHeight="15" x14ac:dyDescent="0.25"/>
  <cols>
    <col min="1" max="1" width="28.5703125" customWidth="1"/>
    <col min="2" max="2" width="18.28515625" customWidth="1"/>
    <col min="3" max="3" width="19.28515625" customWidth="1"/>
    <col min="4" max="4" width="17.85546875" customWidth="1"/>
  </cols>
  <sheetData>
    <row r="1" spans="1:12" ht="18.75" customHeight="1" x14ac:dyDescent="0.25">
      <c r="A1" s="26" t="s">
        <v>29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18.75" customHeigh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ht="18.75" customHeight="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2" ht="18.75" customHeight="1" x14ac:dyDescent="0.25"/>
    <row r="5" spans="1:12" ht="18.75" customHeight="1" x14ac:dyDescent="0.25">
      <c r="A5" s="19" t="s">
        <v>28</v>
      </c>
      <c r="B5" s="20"/>
      <c r="C5" s="20"/>
      <c r="D5" s="20"/>
    </row>
    <row r="6" spans="1:12" ht="18.75" customHeight="1" x14ac:dyDescent="0.25">
      <c r="A6" s="20"/>
      <c r="B6" s="20"/>
      <c r="C6" s="20"/>
      <c r="D6" s="20"/>
    </row>
    <row r="7" spans="1:12" ht="18.75" customHeight="1" x14ac:dyDescent="0.25">
      <c r="A7" s="2" t="s">
        <v>0</v>
      </c>
      <c r="B7" s="2" t="s">
        <v>7</v>
      </c>
      <c r="C7" s="2" t="s">
        <v>1</v>
      </c>
      <c r="D7" s="2" t="s">
        <v>2</v>
      </c>
    </row>
    <row r="8" spans="1:12" ht="18.75" customHeight="1" x14ac:dyDescent="0.25">
      <c r="A8" s="13" t="s">
        <v>9</v>
      </c>
      <c r="B8" s="9">
        <v>999</v>
      </c>
      <c r="C8" s="10">
        <v>4.9000000000000004</v>
      </c>
      <c r="D8" s="10">
        <v>650</v>
      </c>
    </row>
    <row r="9" spans="1:12" ht="18.75" customHeight="1" x14ac:dyDescent="0.25">
      <c r="A9" s="13" t="s">
        <v>8</v>
      </c>
      <c r="B9" s="9">
        <v>1299</v>
      </c>
      <c r="C9" s="10">
        <v>4.8</v>
      </c>
      <c r="D9" s="10">
        <v>980</v>
      </c>
    </row>
    <row r="10" spans="1:12" ht="18.75" customHeight="1" x14ac:dyDescent="0.25">
      <c r="A10" s="13" t="s">
        <v>10</v>
      </c>
      <c r="B10" s="9">
        <v>999</v>
      </c>
      <c r="C10" s="10">
        <v>4.7</v>
      </c>
      <c r="D10" s="10">
        <v>720</v>
      </c>
    </row>
    <row r="11" spans="1:12" ht="18.75" customHeight="1" x14ac:dyDescent="0.25">
      <c r="A11" s="13" t="s">
        <v>11</v>
      </c>
      <c r="B11" s="9">
        <v>1299</v>
      </c>
      <c r="C11" s="10">
        <v>4.5999999999999996</v>
      </c>
      <c r="D11" s="10">
        <v>480</v>
      </c>
    </row>
    <row r="12" spans="1:12" ht="18.75" customHeight="1" x14ac:dyDescent="0.25">
      <c r="A12" s="14" t="s">
        <v>33</v>
      </c>
      <c r="B12" s="9">
        <f>AVERAGE(B8:B11)</f>
        <v>1149</v>
      </c>
      <c r="C12" s="10">
        <f>AVERAGE(C8:C11)</f>
        <v>4.75</v>
      </c>
      <c r="D12" s="10">
        <f>AVERAGE(D8:D11)</f>
        <v>707.5</v>
      </c>
    </row>
    <row r="13" spans="1:12" ht="18.75" customHeight="1" x14ac:dyDescent="0.25">
      <c r="A13" s="15" t="s">
        <v>26</v>
      </c>
      <c r="B13" s="11">
        <f>SUM(B8:B11)</f>
        <v>4596</v>
      </c>
      <c r="C13" s="11">
        <f>SUM(C8:C11)</f>
        <v>19</v>
      </c>
      <c r="D13" s="12">
        <f>SUM(D8:D11)</f>
        <v>2830</v>
      </c>
    </row>
    <row r="14" spans="1:12" ht="18.75" customHeight="1" x14ac:dyDescent="0.25"/>
    <row r="15" spans="1:12" x14ac:dyDescent="0.25">
      <c r="A15" s="19" t="s">
        <v>12</v>
      </c>
      <c r="B15" s="19"/>
      <c r="C15" s="19"/>
      <c r="D15" s="19"/>
    </row>
    <row r="16" spans="1:12" ht="18.75" customHeight="1" x14ac:dyDescent="0.25">
      <c r="A16" s="19"/>
      <c r="B16" s="19"/>
      <c r="C16" s="19"/>
      <c r="D16" s="19"/>
    </row>
    <row r="17" spans="1:4" ht="18.75" customHeight="1" x14ac:dyDescent="0.25">
      <c r="A17" s="2" t="s">
        <v>0</v>
      </c>
      <c r="B17" s="2" t="s">
        <v>13</v>
      </c>
      <c r="C17" s="2" t="s">
        <v>14</v>
      </c>
      <c r="D17" s="2" t="s">
        <v>15</v>
      </c>
    </row>
    <row r="18" spans="1:4" ht="18.75" customHeight="1" x14ac:dyDescent="0.25">
      <c r="A18" s="16" t="s">
        <v>3</v>
      </c>
      <c r="B18" s="11">
        <v>1999</v>
      </c>
      <c r="C18" s="12">
        <v>4.9000000000000004</v>
      </c>
      <c r="D18" s="12">
        <v>850</v>
      </c>
    </row>
    <row r="19" spans="1:4" ht="18.75" customHeight="1" x14ac:dyDescent="0.25">
      <c r="A19" s="16" t="s">
        <v>4</v>
      </c>
      <c r="B19" s="11">
        <v>1699</v>
      </c>
      <c r="C19" s="12">
        <v>4.8</v>
      </c>
      <c r="D19" s="12">
        <v>680</v>
      </c>
    </row>
    <row r="20" spans="1:4" ht="18.75" customHeight="1" x14ac:dyDescent="0.25">
      <c r="A20" s="16" t="s">
        <v>5</v>
      </c>
      <c r="B20" s="11">
        <v>1799</v>
      </c>
      <c r="C20" s="12">
        <v>4.7</v>
      </c>
      <c r="D20" s="12">
        <v>780</v>
      </c>
    </row>
    <row r="21" spans="1:4" ht="18.75" customHeight="1" x14ac:dyDescent="0.25">
      <c r="A21" s="16" t="s">
        <v>6</v>
      </c>
      <c r="B21" s="11">
        <v>1999</v>
      </c>
      <c r="C21" s="12">
        <v>4.9000000000000004</v>
      </c>
      <c r="D21" s="12">
        <v>1100</v>
      </c>
    </row>
    <row r="22" spans="1:4" ht="18.75" customHeight="1" x14ac:dyDescent="0.25">
      <c r="A22" s="15" t="s">
        <v>33</v>
      </c>
      <c r="B22" s="11">
        <f>AVERAGE(B18:B21)</f>
        <v>1874</v>
      </c>
      <c r="C22" s="12">
        <f>AVERAGE(C18:C21)</f>
        <v>4.8249999999999993</v>
      </c>
      <c r="D22" s="12">
        <f>AVERAGE(D18:D21)</f>
        <v>852.5</v>
      </c>
    </row>
    <row r="23" spans="1:4" ht="18.75" customHeight="1" x14ac:dyDescent="0.25">
      <c r="A23" s="15" t="s">
        <v>26</v>
      </c>
      <c r="B23" s="11">
        <f>SUM(B18:B21)</f>
        <v>7496</v>
      </c>
      <c r="C23" s="11">
        <f>SUM(C18:C21)</f>
        <v>19.299999999999997</v>
      </c>
      <c r="D23" s="11">
        <f>SUM(D18:D21)</f>
        <v>3410</v>
      </c>
    </row>
    <row r="24" spans="1:4" ht="18.75" customHeight="1" x14ac:dyDescent="0.25"/>
    <row r="25" spans="1:4" ht="18.75" customHeight="1" x14ac:dyDescent="0.25">
      <c r="A25" s="19" t="s">
        <v>32</v>
      </c>
      <c r="B25" s="19"/>
      <c r="C25" s="19"/>
      <c r="D25" s="19"/>
    </row>
    <row r="26" spans="1:4" ht="18.75" customHeight="1" x14ac:dyDescent="0.25">
      <c r="A26" s="19"/>
      <c r="B26" s="19"/>
      <c r="C26" s="19"/>
      <c r="D26" s="19"/>
    </row>
    <row r="27" spans="1:4" ht="18.75" customHeight="1" x14ac:dyDescent="0.25">
      <c r="A27" s="2" t="s">
        <v>0</v>
      </c>
      <c r="B27" s="2" t="s">
        <v>13</v>
      </c>
      <c r="C27" s="2" t="s">
        <v>14</v>
      </c>
      <c r="D27" s="2" t="s">
        <v>15</v>
      </c>
    </row>
    <row r="28" spans="1:4" ht="18.75" customHeight="1" x14ac:dyDescent="0.25">
      <c r="A28" s="16" t="s">
        <v>17</v>
      </c>
      <c r="B28" s="12">
        <v>299</v>
      </c>
      <c r="C28" s="12">
        <v>4.9000000000000004</v>
      </c>
      <c r="D28" s="12">
        <v>550</v>
      </c>
    </row>
    <row r="29" spans="1:4" ht="18.75" customHeight="1" x14ac:dyDescent="0.25">
      <c r="A29" s="16" t="s">
        <v>18</v>
      </c>
      <c r="B29" s="12">
        <v>299</v>
      </c>
      <c r="C29" s="12">
        <v>4.8</v>
      </c>
      <c r="D29" s="12">
        <v>120</v>
      </c>
    </row>
    <row r="30" spans="1:4" ht="18.75" customHeight="1" x14ac:dyDescent="0.25">
      <c r="A30" s="16" t="s">
        <v>19</v>
      </c>
      <c r="B30" s="12">
        <v>499</v>
      </c>
      <c r="C30" s="12">
        <v>4.7</v>
      </c>
      <c r="D30" s="12">
        <v>180</v>
      </c>
    </row>
    <row r="31" spans="1:4" ht="18.75" customHeight="1" x14ac:dyDescent="0.25">
      <c r="A31" s="16" t="s">
        <v>20</v>
      </c>
      <c r="B31" s="12">
        <v>299</v>
      </c>
      <c r="C31" s="12">
        <v>4.8</v>
      </c>
      <c r="D31" s="12">
        <v>280</v>
      </c>
    </row>
    <row r="32" spans="1:4" ht="18.75" customHeight="1" x14ac:dyDescent="0.25">
      <c r="A32" s="15" t="s">
        <v>33</v>
      </c>
      <c r="B32" s="12">
        <f>AVERAGE(B28:B31)</f>
        <v>349</v>
      </c>
      <c r="C32" s="12">
        <f t="shared" ref="C32:D32" si="0">AVERAGE(C28:C31)</f>
        <v>4.8</v>
      </c>
      <c r="D32" s="12">
        <f t="shared" si="0"/>
        <v>282.5</v>
      </c>
    </row>
    <row r="33" spans="1:4" ht="18.75" customHeight="1" x14ac:dyDescent="0.25">
      <c r="A33" s="15" t="s">
        <v>26</v>
      </c>
      <c r="B33" s="12">
        <f>SUM(B28:B31)</f>
        <v>1396</v>
      </c>
      <c r="C33" s="12">
        <f t="shared" ref="C33:D33" si="1">SUM(C28:C31)</f>
        <v>19.2</v>
      </c>
      <c r="D33" s="12">
        <f t="shared" si="1"/>
        <v>1130</v>
      </c>
    </row>
    <row r="34" spans="1:4" ht="18.75" customHeight="1" x14ac:dyDescent="0.25"/>
    <row r="35" spans="1:4" ht="18.75" customHeight="1" x14ac:dyDescent="0.25">
      <c r="A35" s="19" t="s">
        <v>21</v>
      </c>
      <c r="B35" s="19"/>
      <c r="C35" s="19"/>
      <c r="D35" s="19"/>
    </row>
    <row r="36" spans="1:4" ht="18.75" customHeight="1" x14ac:dyDescent="0.25">
      <c r="A36" s="19"/>
      <c r="B36" s="19"/>
      <c r="C36" s="19"/>
      <c r="D36" s="19"/>
    </row>
    <row r="37" spans="1:4" ht="18.75" customHeight="1" x14ac:dyDescent="0.25">
      <c r="A37" s="2" t="s">
        <v>16</v>
      </c>
      <c r="B37" s="2" t="s">
        <v>13</v>
      </c>
      <c r="C37" s="2" t="s">
        <v>14</v>
      </c>
      <c r="D37" s="2" t="s">
        <v>15</v>
      </c>
    </row>
    <row r="38" spans="1:4" ht="18.75" customHeight="1" x14ac:dyDescent="0.25">
      <c r="A38" s="16" t="s">
        <v>22</v>
      </c>
      <c r="B38" s="12">
        <v>499</v>
      </c>
      <c r="C38" s="12">
        <v>4.9000000000000004</v>
      </c>
      <c r="D38" s="12">
        <v>620</v>
      </c>
    </row>
    <row r="39" spans="1:4" ht="18.75" customHeight="1" x14ac:dyDescent="0.25">
      <c r="A39" s="16" t="s">
        <v>23</v>
      </c>
      <c r="B39" s="12">
        <v>599</v>
      </c>
      <c r="C39" s="12">
        <v>4.8</v>
      </c>
      <c r="D39" s="12">
        <v>480</v>
      </c>
    </row>
    <row r="40" spans="1:4" ht="18.75" customHeight="1" x14ac:dyDescent="0.25">
      <c r="A40" s="16" t="s">
        <v>24</v>
      </c>
      <c r="B40" s="12">
        <v>499</v>
      </c>
      <c r="C40" s="12">
        <v>4.7</v>
      </c>
      <c r="D40" s="12">
        <v>450</v>
      </c>
    </row>
    <row r="41" spans="1:4" ht="18.75" customHeight="1" x14ac:dyDescent="0.25">
      <c r="A41" s="16" t="s">
        <v>25</v>
      </c>
      <c r="B41" s="12">
        <v>599</v>
      </c>
      <c r="C41" s="12">
        <v>4.8</v>
      </c>
      <c r="D41" s="12">
        <v>520</v>
      </c>
    </row>
    <row r="42" spans="1:4" ht="18.75" customHeight="1" x14ac:dyDescent="0.25">
      <c r="A42" s="14" t="s">
        <v>33</v>
      </c>
      <c r="B42" s="12">
        <f>AVERAGE(B38:B41)</f>
        <v>549</v>
      </c>
      <c r="C42" s="12">
        <f>AVERAGE(C38:C41)</f>
        <v>4.8</v>
      </c>
      <c r="D42" s="12">
        <f>AVERAGE(D38:D41)</f>
        <v>517.5</v>
      </c>
    </row>
    <row r="43" spans="1:4" ht="18.75" customHeight="1" x14ac:dyDescent="0.25">
      <c r="A43" s="15" t="s">
        <v>26</v>
      </c>
      <c r="B43" s="12">
        <f>SUM(A38:B41)</f>
        <v>2196</v>
      </c>
      <c r="C43" s="12">
        <f>SUM(B38:C41)</f>
        <v>2215.2000000000003</v>
      </c>
      <c r="D43" s="12">
        <f>SUM(C38:D41)</f>
        <v>2089.1999999999998</v>
      </c>
    </row>
    <row r="44" spans="1:4" ht="18.75" customHeight="1" x14ac:dyDescent="0.25">
      <c r="A44" s="3"/>
      <c r="B44" s="3"/>
      <c r="C44" s="3"/>
      <c r="D44" s="3"/>
    </row>
    <row r="45" spans="1:4" ht="18.75" customHeight="1" x14ac:dyDescent="0.25">
      <c r="A45" s="22" t="s">
        <v>30</v>
      </c>
      <c r="B45" s="22"/>
      <c r="C45" s="24">
        <f>AVERAGE(C42,C32,C22,C12)</f>
        <v>4.7937499999999993</v>
      </c>
      <c r="D45" s="24"/>
    </row>
    <row r="46" spans="1:4" ht="18.75" customHeight="1" x14ac:dyDescent="0.25">
      <c r="A46" s="22"/>
      <c r="B46" s="22"/>
      <c r="C46" s="24"/>
      <c r="D46" s="24"/>
    </row>
    <row r="47" spans="1:4" ht="18.75" customHeight="1" x14ac:dyDescent="0.25">
      <c r="A47" s="23" t="s">
        <v>31</v>
      </c>
      <c r="B47" s="23"/>
      <c r="C47" s="25">
        <f>AVERAGE(B42,B32,B22,B12)</f>
        <v>980.25</v>
      </c>
      <c r="D47" s="21"/>
    </row>
    <row r="48" spans="1:4" ht="18.75" customHeight="1" x14ac:dyDescent="0.25">
      <c r="A48" s="23"/>
      <c r="B48" s="23"/>
      <c r="C48" s="21"/>
      <c r="D48" s="21"/>
    </row>
    <row r="49" spans="1:4" ht="18.75" customHeight="1" x14ac:dyDescent="0.25">
      <c r="A49" s="17" t="s">
        <v>27</v>
      </c>
      <c r="B49" s="17"/>
      <c r="C49" s="21">
        <f>AVERAGE(D42,D32,D22,D12)</f>
        <v>590</v>
      </c>
      <c r="D49" s="21"/>
    </row>
    <row r="50" spans="1:4" ht="18.75" customHeight="1" x14ac:dyDescent="0.25">
      <c r="A50" s="17"/>
      <c r="B50" s="17"/>
      <c r="C50" s="21"/>
      <c r="D50" s="21"/>
    </row>
    <row r="51" spans="1:4" ht="18.75" customHeight="1" x14ac:dyDescent="0.25">
      <c r="A51" s="18"/>
      <c r="B51" s="18"/>
      <c r="C51" s="1"/>
      <c r="D51" s="1"/>
    </row>
    <row r="52" spans="1:4" ht="18.75" customHeight="1" x14ac:dyDescent="0.25">
      <c r="A52" s="10" t="s">
        <v>34</v>
      </c>
      <c r="B52" s="13" t="s">
        <v>35</v>
      </c>
      <c r="C52" s="13" t="s">
        <v>36</v>
      </c>
    </row>
    <row r="53" spans="1:4" ht="18.75" customHeight="1" x14ac:dyDescent="0.25">
      <c r="A53" s="10"/>
      <c r="B53" s="10"/>
      <c r="C53" s="10"/>
    </row>
    <row r="54" spans="1:4" ht="18.75" customHeight="1" x14ac:dyDescent="0.25">
      <c r="A54" s="10" t="s">
        <v>41</v>
      </c>
      <c r="B54" s="10" t="s">
        <v>37</v>
      </c>
      <c r="C54" s="10" t="s">
        <v>38</v>
      </c>
    </row>
    <row r="55" spans="1:4" ht="18.75" customHeight="1" x14ac:dyDescent="0.25">
      <c r="A55" s="10" t="s">
        <v>42</v>
      </c>
      <c r="B55" s="10" t="s">
        <v>37</v>
      </c>
      <c r="C55" s="10" t="s">
        <v>38</v>
      </c>
    </row>
    <row r="56" spans="1:4" ht="18.75" customHeight="1" x14ac:dyDescent="0.25">
      <c r="A56" s="10" t="s">
        <v>43</v>
      </c>
      <c r="B56" s="10" t="s">
        <v>37</v>
      </c>
      <c r="C56" s="10" t="s">
        <v>38</v>
      </c>
    </row>
    <row r="57" spans="1:4" ht="18.75" customHeight="1" x14ac:dyDescent="0.25">
      <c r="A57" s="10" t="s">
        <v>44</v>
      </c>
      <c r="B57" s="10" t="s">
        <v>37</v>
      </c>
      <c r="C57" s="10" t="s">
        <v>38</v>
      </c>
    </row>
    <row r="58" spans="1:4" ht="18.75" customHeight="1" x14ac:dyDescent="0.25">
      <c r="A58" s="10" t="s">
        <v>45</v>
      </c>
      <c r="B58" s="10" t="s">
        <v>37</v>
      </c>
      <c r="C58" s="10" t="s">
        <v>38</v>
      </c>
    </row>
    <row r="59" spans="1:4" ht="18.75" customHeight="1" x14ac:dyDescent="0.25">
      <c r="A59" s="10" t="s">
        <v>46</v>
      </c>
      <c r="B59" s="12" t="s">
        <v>39</v>
      </c>
      <c r="C59" s="12" t="s">
        <v>40</v>
      </c>
    </row>
    <row r="60" spans="1:4" ht="18.75" customHeight="1" x14ac:dyDescent="0.25">
      <c r="A60" s="10" t="s">
        <v>47</v>
      </c>
      <c r="B60" s="12" t="s">
        <v>39</v>
      </c>
      <c r="C60" s="12" t="s">
        <v>40</v>
      </c>
    </row>
    <row r="61" spans="1:4" ht="18.75" customHeight="1" x14ac:dyDescent="0.25">
      <c r="A61" s="8"/>
      <c r="B61" s="8"/>
      <c r="C61" s="4"/>
      <c r="D61" s="4"/>
    </row>
    <row r="62" spans="1:4" ht="18.75" customHeight="1" x14ac:dyDescent="0.25">
      <c r="A62" s="8"/>
      <c r="B62" s="8"/>
      <c r="C62" s="4"/>
      <c r="D62" s="4"/>
    </row>
    <row r="63" spans="1:4" ht="18.75" customHeight="1" x14ac:dyDescent="0.25">
      <c r="A63" s="8"/>
      <c r="B63" s="8"/>
      <c r="C63" s="5"/>
      <c r="D63" s="6"/>
    </row>
    <row r="64" spans="1:4" ht="18.75" customHeight="1" x14ac:dyDescent="0.25">
      <c r="A64" s="8"/>
      <c r="B64" s="8"/>
      <c r="C64" s="6"/>
      <c r="D64" s="6"/>
    </row>
    <row r="65" spans="1:4" ht="18.75" customHeight="1" x14ac:dyDescent="0.25">
      <c r="A65" s="8"/>
      <c r="B65" s="8"/>
      <c r="C65" s="7"/>
      <c r="D65" s="7"/>
    </row>
    <row r="66" spans="1:4" ht="18.75" customHeight="1" x14ac:dyDescent="0.25">
      <c r="A66" s="8"/>
      <c r="B66" s="8"/>
      <c r="C66" s="7"/>
      <c r="D66" s="7"/>
    </row>
    <row r="67" spans="1:4" ht="18.75" customHeight="1" x14ac:dyDescent="0.25"/>
    <row r="68" spans="1:4" ht="18.75" customHeight="1" x14ac:dyDescent="0.25"/>
    <row r="69" spans="1:4" ht="18.75" customHeight="1" x14ac:dyDescent="0.25"/>
    <row r="70" spans="1:4" ht="18.75" customHeight="1" x14ac:dyDescent="0.25"/>
    <row r="71" spans="1:4" ht="18.75" customHeight="1" x14ac:dyDescent="0.25"/>
    <row r="72" spans="1:4" ht="18.75" customHeight="1" x14ac:dyDescent="0.25"/>
    <row r="73" spans="1:4" ht="18.75" customHeight="1" x14ac:dyDescent="0.25"/>
    <row r="74" spans="1:4" ht="18.75" customHeight="1" x14ac:dyDescent="0.25"/>
    <row r="75" spans="1:4" ht="18.75" customHeight="1" x14ac:dyDescent="0.25"/>
    <row r="76" spans="1:4" ht="18.75" customHeight="1" x14ac:dyDescent="0.25"/>
    <row r="77" spans="1:4" ht="18.75" customHeight="1" x14ac:dyDescent="0.25"/>
    <row r="78" spans="1:4" ht="18.75" customHeight="1" x14ac:dyDescent="0.25"/>
    <row r="79" spans="1:4" ht="18.75" customHeight="1" x14ac:dyDescent="0.25"/>
    <row r="80" spans="1:4" ht="18.75" customHeight="1" x14ac:dyDescent="0.25"/>
  </sheetData>
  <mergeCells count="12">
    <mergeCell ref="A1:L3"/>
    <mergeCell ref="A49:B50"/>
    <mergeCell ref="A51:B51"/>
    <mergeCell ref="A5:D6"/>
    <mergeCell ref="A25:D26"/>
    <mergeCell ref="A35:D36"/>
    <mergeCell ref="C49:D50"/>
    <mergeCell ref="A15:D16"/>
    <mergeCell ref="A45:B46"/>
    <mergeCell ref="A47:B48"/>
    <mergeCell ref="C45:D46"/>
    <mergeCell ref="C47:D48"/>
  </mergeCells>
  <phoneticPr fontId="7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Laptop point</dc:creator>
  <cp:lastModifiedBy>Waleed</cp:lastModifiedBy>
  <dcterms:created xsi:type="dcterms:W3CDTF">2025-12-27T14:14:54Z</dcterms:created>
  <dcterms:modified xsi:type="dcterms:W3CDTF">2026-01-03T14:28:36Z</dcterms:modified>
</cp:coreProperties>
</file>